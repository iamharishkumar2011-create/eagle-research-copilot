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umar\Desktop\Research\"/>
    </mc:Choice>
  </mc:AlternateContent>
  <xr:revisionPtr revIDLastSave="0" documentId="13_ncr:1_{BFED125F-5277-4EA3-B79D-51EFD5F369D7}" xr6:coauthVersionLast="47" xr6:coauthVersionMax="47" xr10:uidLastSave="{00000000-0000-0000-0000-000000000000}"/>
  <bookViews>
    <workbookView xWindow="-120" yWindow="-120" windowWidth="20730" windowHeight="11040" activeTab="1" xr2:uid="{DFF98337-CA7E-4603-A6B2-028AC0A360C8}"/>
  </bookViews>
  <sheets>
    <sheet name="Sheet3" sheetId="3" r:id="rId1"/>
    <sheet name="Analysi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3" l="1"/>
  <c r="P23" i="3"/>
  <c r="P20" i="3"/>
  <c r="P21" i="3"/>
  <c r="P22" i="3"/>
  <c r="O20" i="3"/>
  <c r="O23" i="3" s="1"/>
  <c r="O21" i="3"/>
  <c r="Q21" i="3" s="1"/>
  <c r="R21" i="3" s="1"/>
  <c r="O22" i="3"/>
  <c r="Q22" i="3" s="1"/>
  <c r="R22" i="3" s="1"/>
  <c r="P19" i="3"/>
  <c r="O19" i="3"/>
  <c r="P13" i="3"/>
  <c r="P14" i="3"/>
  <c r="P15" i="3"/>
  <c r="O13" i="3"/>
  <c r="O14" i="3"/>
  <c r="O15" i="3"/>
  <c r="P12" i="3"/>
  <c r="O12" i="3"/>
  <c r="O16" i="3" s="1"/>
  <c r="P6" i="3"/>
  <c r="P7" i="3"/>
  <c r="P8" i="3"/>
  <c r="P5" i="3"/>
  <c r="P9" i="3" s="1"/>
  <c r="P24" i="3" s="1"/>
  <c r="Q24" i="3" s="1"/>
  <c r="R24" i="3" s="1"/>
  <c r="O6" i="3"/>
  <c r="Q6" i="3" s="1"/>
  <c r="R6" i="3" s="1"/>
  <c r="O7" i="3"/>
  <c r="O8" i="3"/>
  <c r="Q8" i="3" s="1"/>
  <c r="R8" i="3" s="1"/>
  <c r="O5" i="3"/>
  <c r="O9" i="3" s="1"/>
  <c r="G19" i="3"/>
  <c r="Q12" i="3" l="1"/>
  <c r="Q7" i="3"/>
  <c r="R7" i="3" s="1"/>
  <c r="Q19" i="3"/>
  <c r="R19" i="3" s="1"/>
  <c r="P16" i="3"/>
  <c r="Q14" i="3"/>
  <c r="R14" i="3" s="1"/>
  <c r="Q15" i="3"/>
  <c r="R15" i="3" s="1"/>
  <c r="Q20" i="3"/>
  <c r="Q13" i="3"/>
  <c r="R13" i="3" s="1"/>
  <c r="Q5" i="3"/>
  <c r="R20" i="3" l="1"/>
  <c r="Q23" i="3"/>
  <c r="R23" i="3" s="1"/>
  <c r="R5" i="3"/>
  <c r="Q9" i="3"/>
  <c r="R9" i="3" s="1"/>
  <c r="R12" i="3"/>
  <c r="Q16" i="3"/>
  <c r="R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tc={1BBA1CFF-6DE8-4DA2-840E-09DCF8FA9550}</author>
  </authors>
  <commentList>
    <comment ref="U6" authorId="0" shapeId="0" xr:uid="{1BBA1CFF-6DE8-4DA2-840E-09DCF8FA9550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we consider the paper consist of 3 authors</t>
      </text>
    </comment>
  </commentList>
</comments>
</file>

<file path=xl/sharedStrings.xml><?xml version="1.0" encoding="utf-8"?>
<sst xmlns="http://schemas.openxmlformats.org/spreadsheetml/2006/main" count="86" uniqueCount="47">
  <si>
    <t>A*</t>
  </si>
  <si>
    <t>B</t>
  </si>
  <si>
    <t>C</t>
  </si>
  <si>
    <t>A</t>
  </si>
  <si>
    <t>Scopus</t>
  </si>
  <si>
    <t>Scenario</t>
  </si>
  <si>
    <t>H1</t>
  </si>
  <si>
    <t>H2</t>
  </si>
  <si>
    <t>H3</t>
  </si>
  <si>
    <t>H4</t>
  </si>
  <si>
    <t>M1</t>
  </si>
  <si>
    <t>M2</t>
  </si>
  <si>
    <t>M3</t>
  </si>
  <si>
    <t>M4</t>
  </si>
  <si>
    <t>L1</t>
  </si>
  <si>
    <t>L2</t>
  </si>
  <si>
    <t>L3</t>
  </si>
  <si>
    <t>L4</t>
  </si>
  <si>
    <t>Old</t>
  </si>
  <si>
    <t>New</t>
  </si>
  <si>
    <t>FT</t>
  </si>
  <si>
    <t>Total</t>
  </si>
  <si>
    <t>Difference</t>
  </si>
  <si>
    <t xml:space="preserve">Scoupus </t>
  </si>
  <si>
    <t xml:space="preserve">Authorship order--&gt; </t>
  </si>
  <si>
    <r>
      <t>High Scenario</t>
    </r>
    <r>
      <rPr>
        <sz val="11"/>
        <color theme="1"/>
        <rFont val="Aptos Narrow"/>
        <family val="2"/>
        <scheme val="minor"/>
      </rPr>
      <t>: Points are significantly higher for 1st and 2nd authors in the new policy compared to the old policy, but there is a sharp decline for 3rd and especially for 4th and lower authors.</t>
    </r>
  </si>
  <si>
    <r>
      <t>Moderate Scenario</t>
    </r>
    <r>
      <rPr>
        <sz val="11"/>
        <color theme="1"/>
        <rFont val="Aptos Narrow"/>
        <family val="2"/>
        <scheme val="minor"/>
      </rPr>
      <t>: Similar trends where 1st and 2nd authors benefit more under the new policy compared to the old one, but less drastically than in the high scenario.</t>
    </r>
  </si>
  <si>
    <r>
      <t>Low Scenario</t>
    </r>
    <r>
      <rPr>
        <sz val="11"/>
        <color theme="1"/>
        <rFont val="Aptos Narrow"/>
        <family val="2"/>
        <scheme val="minor"/>
      </rPr>
      <t>: The new policy boosts points for 1st and 2nd authors even in less prestigious publications (like those indexed in Scopus alone), which were not highly valued under the old policy.</t>
    </r>
  </si>
  <si>
    <t>Detailed Points Analysis:</t>
  </si>
  <si>
    <r>
      <t>FT50/A/A Scenario</t>
    </r>
    <r>
      <rPr>
        <sz val="11"/>
        <color theme="1"/>
        <rFont val="Aptos Narrow"/>
        <family val="2"/>
        <scheme val="minor"/>
      </rPr>
      <t>*:</t>
    </r>
  </si>
  <si>
    <r>
      <t>1st Author</t>
    </r>
    <r>
      <rPr>
        <sz val="11"/>
        <color theme="1"/>
        <rFont val="Aptos Narrow"/>
        <family val="2"/>
        <scheme val="minor"/>
      </rPr>
      <t>: Points increase slightly or remain relatively high, which motivates leading the research.</t>
    </r>
  </si>
  <si>
    <r>
      <t>3rd Author and beyond</t>
    </r>
    <r>
      <rPr>
        <sz val="11"/>
        <color theme="1"/>
        <rFont val="Aptos Narrow"/>
        <family val="2"/>
        <scheme val="minor"/>
      </rPr>
      <t>: Sharp decline in points, discouraging lower authorship positions.</t>
    </r>
  </si>
  <si>
    <r>
      <t>A/B/C Scenario</t>
    </r>
    <r>
      <rPr>
        <sz val="11"/>
        <color theme="1"/>
        <rFont val="Aptos Narrow"/>
        <family val="2"/>
        <scheme val="minor"/>
      </rPr>
      <t>:</t>
    </r>
  </si>
  <si>
    <r>
      <t>1st and 2nd Author</t>
    </r>
    <r>
      <rPr>
        <sz val="11"/>
        <color theme="1"/>
        <rFont val="Aptos Narrow"/>
        <family val="2"/>
        <scheme val="minor"/>
      </rPr>
      <t>: Increased points, incentivizing primary authorship.</t>
    </r>
  </si>
  <si>
    <r>
      <t>4th Author and beyond</t>
    </r>
    <r>
      <rPr>
        <sz val="11"/>
        <color theme="1"/>
        <rFont val="Aptos Narrow"/>
        <family val="2"/>
        <scheme val="minor"/>
      </rPr>
      <t>: Significant reductions, discouraging minimal contributions or lesser involvement.</t>
    </r>
  </si>
  <si>
    <r>
      <t>Scopus/Web of Science Scenario</t>
    </r>
    <r>
      <rPr>
        <sz val="11"/>
        <color theme="1"/>
        <rFont val="Aptos Narrow"/>
        <family val="2"/>
        <scheme val="minor"/>
      </rPr>
      <t>:</t>
    </r>
  </si>
  <si>
    <t>Points are increased across the board for 1st and 2nd authors, suggesting an encouragement to publish more frequently even in lower-tier journals but as leading authors.</t>
  </si>
  <si>
    <t>Comparative Advantage of New Policy:</t>
  </si>
  <si>
    <r>
      <t>Incentivizes Higher Contributions</t>
    </r>
    <r>
      <rPr>
        <sz val="11"/>
        <color theme="1"/>
        <rFont val="Aptos Narrow"/>
        <family val="2"/>
        <scheme val="minor"/>
      </rPr>
      <t>: By allocating more points to first and second authors, the new policy encourages researchers to take more substantial roles in their publications.</t>
    </r>
  </si>
  <si>
    <r>
      <t>Promotes Quality Over Quantity</t>
    </r>
    <r>
      <rPr>
        <sz val="11"/>
        <color theme="1"/>
        <rFont val="Aptos Narrow"/>
        <family val="2"/>
        <scheme val="minor"/>
      </rPr>
      <t>: Discouraging lower authorship positions could lead to fewer, but more meaningful publications where faculty members are more significantly involved.</t>
    </r>
  </si>
  <si>
    <r>
      <t>Enhances Visibility and Career Progression</t>
    </r>
    <r>
      <rPr>
        <sz val="11"/>
        <color theme="1"/>
        <rFont val="Aptos Narrow"/>
        <family val="2"/>
        <scheme val="minor"/>
      </rPr>
      <t>: Higher authorship positions are often more visible and can lead to better career advancements, which the new policy supports.</t>
    </r>
  </si>
  <si>
    <t xml:space="preserve">H1  </t>
  </si>
  <si>
    <t xml:space="preserve">H2 </t>
  </si>
  <si>
    <t xml:space="preserve">M3 </t>
  </si>
  <si>
    <t>Grand Total</t>
  </si>
  <si>
    <t xml:space="preserve">We have 3 scenerios High, moderate, low each has 4 varied sub-scenarios showing the auhtoship order. Here </t>
  </si>
  <si>
    <t>The new policy clearly emphasizes rewarding higher authorship positions (1st 2nd 3rd author) more than lower ones, which is evident from the points assigned: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</si>
</sst>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2" borderId="0" xfId="0" applyFill="1"/>
    <xf numFmtId="2" fontId="0" fillId="2" borderId="0" xfId="0" applyNumberFormat="1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2" fontId="0" fillId="2" borderId="1" xfId="0" applyNumberFormat="1" applyFill="1" applyBorder="1"/>
    <xf numFmtId="9" fontId="0" fillId="2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ish Kumar" id="{F622B08C-E610-48B0-A92B-F8D921747001}" userId="S::harish.k@greatlakes.edu.in::e0a33e7b-5df6-478e-b645-97ca6a96e32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6" dT="2024-11-08T16:12:17.82" personId="{F622B08C-E610-48B0-A92B-F8D921747001}" id="{1BBA1CFF-6DE8-4DA2-840E-09DCF8FA9550}">
    <text>Here we consider the paper consist of 3 authors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8DDD-440E-49AB-9297-87693FCD03AE}">
  <dimension ref="A3:Z25"/>
  <sheetViews>
    <sheetView zoomScaleNormal="100" workbookViewId="0">
      <selection activeCell="R7" sqref="R7"/>
    </sheetView>
  </sheetViews>
  <sheetFormatPr defaultRowHeight="15" x14ac:dyDescent="0.25"/>
  <cols>
    <col min="1" max="1" width="8.7109375" style="7" bestFit="1" customWidth="1"/>
    <col min="2" max="2" width="22" style="7" customWidth="1"/>
    <col min="3" max="8" width="9.140625" style="7"/>
    <col min="9" max="9" width="9.5703125" style="7" bestFit="1" customWidth="1"/>
    <col min="10" max="13" width="9.140625" style="7"/>
    <col min="14" max="14" width="14.140625" style="7" customWidth="1"/>
    <col min="15" max="18" width="9.140625" style="7"/>
    <col min="19" max="19" width="9.140625" style="7" customWidth="1"/>
    <col min="20" max="20" width="20" style="7" customWidth="1"/>
    <col min="21" max="16384" width="9.140625" style="7"/>
  </cols>
  <sheetData>
    <row r="3" spans="1:26" x14ac:dyDescent="0.25">
      <c r="A3" s="9"/>
      <c r="B3" s="9"/>
      <c r="C3" s="9" t="s">
        <v>20</v>
      </c>
      <c r="D3" s="9"/>
      <c r="E3" s="9" t="s">
        <v>0</v>
      </c>
      <c r="F3" s="9"/>
      <c r="G3" s="9" t="s">
        <v>3</v>
      </c>
      <c r="H3" s="9" t="s">
        <v>3</v>
      </c>
      <c r="N3" s="9"/>
      <c r="O3" s="9" t="s">
        <v>21</v>
      </c>
      <c r="P3" s="9"/>
      <c r="Q3" s="9"/>
      <c r="R3" s="9"/>
      <c r="S3" s="7" t="s">
        <v>45</v>
      </c>
    </row>
    <row r="4" spans="1:26" x14ac:dyDescent="0.25">
      <c r="A4" s="9"/>
      <c r="B4" s="9" t="s">
        <v>5</v>
      </c>
      <c r="C4" s="9" t="s">
        <v>18</v>
      </c>
      <c r="D4" s="9" t="s">
        <v>19</v>
      </c>
      <c r="E4" s="9" t="s">
        <v>18</v>
      </c>
      <c r="F4" s="9" t="s">
        <v>19</v>
      </c>
      <c r="G4" s="9" t="s">
        <v>18</v>
      </c>
      <c r="H4" s="9" t="s">
        <v>19</v>
      </c>
      <c r="N4" s="9"/>
      <c r="O4" s="9" t="s">
        <v>18</v>
      </c>
      <c r="P4" s="9" t="s">
        <v>19</v>
      </c>
      <c r="Q4" s="9" t="s">
        <v>22</v>
      </c>
      <c r="R4" s="9"/>
    </row>
    <row r="5" spans="1:26" x14ac:dyDescent="0.25">
      <c r="A5" s="9">
        <v>1</v>
      </c>
      <c r="B5" s="10" t="s">
        <v>41</v>
      </c>
      <c r="C5" s="9">
        <v>112.5</v>
      </c>
      <c r="D5" s="9">
        <v>150</v>
      </c>
      <c r="E5" s="9">
        <v>75</v>
      </c>
      <c r="F5" s="9">
        <v>100</v>
      </c>
      <c r="G5" s="9">
        <v>42</v>
      </c>
      <c r="H5" s="9">
        <v>56</v>
      </c>
      <c r="I5" s="8"/>
      <c r="M5" s="8"/>
      <c r="N5" s="9"/>
      <c r="O5" s="11">
        <f>C5+E5+G5</f>
        <v>229.5</v>
      </c>
      <c r="P5" s="9">
        <f>D5+F5+H5</f>
        <v>306</v>
      </c>
      <c r="Q5" s="11">
        <f>P5-O5</f>
        <v>76.5</v>
      </c>
      <c r="R5" s="12">
        <f>Q5/O5</f>
        <v>0.33333333333333331</v>
      </c>
      <c r="T5" s="7" t="s">
        <v>24</v>
      </c>
      <c r="U5" s="7" t="s">
        <v>20</v>
      </c>
      <c r="V5" s="7" t="s">
        <v>0</v>
      </c>
      <c r="W5" s="7" t="s">
        <v>3</v>
      </c>
      <c r="X5" s="7" t="s">
        <v>1</v>
      </c>
      <c r="Y5" s="7" t="s">
        <v>2</v>
      </c>
      <c r="Z5" s="7" t="s">
        <v>23</v>
      </c>
    </row>
    <row r="6" spans="1:26" x14ac:dyDescent="0.25">
      <c r="A6" s="9">
        <v>2</v>
      </c>
      <c r="B6" s="10" t="s">
        <v>42</v>
      </c>
      <c r="C6" s="9">
        <v>112.5</v>
      </c>
      <c r="D6" s="9">
        <v>112.5</v>
      </c>
      <c r="E6" s="9">
        <v>75</v>
      </c>
      <c r="F6" s="9">
        <v>75</v>
      </c>
      <c r="G6" s="9">
        <v>42</v>
      </c>
      <c r="H6" s="9">
        <v>42</v>
      </c>
      <c r="N6" s="9"/>
      <c r="O6" s="11">
        <f t="shared" ref="O6:O8" si="0">C6+E6+G6</f>
        <v>229.5</v>
      </c>
      <c r="P6" s="9">
        <f t="shared" ref="P6:P8" si="1">D6+F6+H6</f>
        <v>229.5</v>
      </c>
      <c r="Q6" s="11">
        <f t="shared" ref="Q6:Q8" si="2">P6-O6</f>
        <v>0</v>
      </c>
      <c r="R6" s="12">
        <f t="shared" ref="R6:R9" si="3">Q6/O6</f>
        <v>0</v>
      </c>
      <c r="T6" s="7" t="s">
        <v>6</v>
      </c>
      <c r="U6" s="7">
        <v>1</v>
      </c>
      <c r="V6" s="7">
        <v>1</v>
      </c>
      <c r="W6" s="7">
        <v>1</v>
      </c>
    </row>
    <row r="7" spans="1:26" x14ac:dyDescent="0.25">
      <c r="A7" s="9">
        <v>3</v>
      </c>
      <c r="B7" s="10" t="s">
        <v>8</v>
      </c>
      <c r="C7" s="9">
        <v>112.5</v>
      </c>
      <c r="D7" s="9">
        <v>75</v>
      </c>
      <c r="E7" s="9">
        <v>75</v>
      </c>
      <c r="F7" s="9">
        <v>50</v>
      </c>
      <c r="G7" s="9">
        <v>35</v>
      </c>
      <c r="H7" s="9">
        <v>35</v>
      </c>
      <c r="N7" s="9"/>
      <c r="O7" s="11">
        <f t="shared" si="0"/>
        <v>222.5</v>
      </c>
      <c r="P7" s="9">
        <f t="shared" si="1"/>
        <v>160</v>
      </c>
      <c r="Q7" s="11">
        <f t="shared" si="2"/>
        <v>-62.5</v>
      </c>
      <c r="R7" s="12">
        <f t="shared" si="3"/>
        <v>-0.2808988764044944</v>
      </c>
      <c r="T7" s="7" t="s">
        <v>7</v>
      </c>
      <c r="U7" s="7">
        <v>3</v>
      </c>
      <c r="V7" s="7">
        <v>3</v>
      </c>
      <c r="W7" s="7">
        <v>3</v>
      </c>
    </row>
    <row r="8" spans="1:26" x14ac:dyDescent="0.25">
      <c r="A8" s="9">
        <v>4</v>
      </c>
      <c r="B8" s="10" t="s">
        <v>9</v>
      </c>
      <c r="C8" s="9">
        <v>112.5</v>
      </c>
      <c r="D8" s="9">
        <v>0</v>
      </c>
      <c r="E8" s="9">
        <v>75</v>
      </c>
      <c r="F8" s="9">
        <v>0</v>
      </c>
      <c r="G8" s="9">
        <v>23.3</v>
      </c>
      <c r="H8" s="9">
        <v>0</v>
      </c>
      <c r="N8" s="9"/>
      <c r="O8" s="11">
        <f t="shared" si="0"/>
        <v>210.8</v>
      </c>
      <c r="P8" s="9">
        <f t="shared" si="1"/>
        <v>0</v>
      </c>
      <c r="Q8" s="11">
        <f t="shared" si="2"/>
        <v>-210.8</v>
      </c>
      <c r="R8" s="12">
        <f t="shared" si="3"/>
        <v>-1</v>
      </c>
      <c r="T8" s="7" t="s">
        <v>8</v>
      </c>
      <c r="U8" s="7">
        <v>4</v>
      </c>
      <c r="V8" s="7">
        <v>3</v>
      </c>
      <c r="W8" s="7">
        <v>4</v>
      </c>
    </row>
    <row r="9" spans="1:26" x14ac:dyDescent="0.25">
      <c r="A9" s="7">
        <v>5</v>
      </c>
      <c r="N9" s="9" t="s">
        <v>21</v>
      </c>
      <c r="O9" s="11">
        <f>SUM(O5:O8)</f>
        <v>892.3</v>
      </c>
      <c r="P9" s="11">
        <f>SUM(P5:P8)</f>
        <v>695.5</v>
      </c>
      <c r="Q9" s="11">
        <f>SUM(Q5:Q8)</f>
        <v>-196.8</v>
      </c>
      <c r="R9" s="12">
        <f t="shared" si="3"/>
        <v>-0.22055362546228849</v>
      </c>
      <c r="T9" s="7" t="s">
        <v>9</v>
      </c>
      <c r="U9" s="7">
        <v>6</v>
      </c>
      <c r="V9" s="7">
        <v>6</v>
      </c>
      <c r="W9" s="7">
        <v>6</v>
      </c>
    </row>
    <row r="10" spans="1:26" x14ac:dyDescent="0.25">
      <c r="A10" s="9">
        <v>6</v>
      </c>
      <c r="B10" s="9"/>
      <c r="C10" s="9" t="s">
        <v>3</v>
      </c>
      <c r="D10" s="9"/>
      <c r="E10" s="9" t="s">
        <v>1</v>
      </c>
      <c r="F10" s="9"/>
      <c r="G10" s="9" t="s">
        <v>2</v>
      </c>
      <c r="H10" s="9"/>
    </row>
    <row r="11" spans="1:26" x14ac:dyDescent="0.25">
      <c r="A11" s="9">
        <v>7</v>
      </c>
      <c r="B11" s="9"/>
      <c r="C11" s="9" t="s">
        <v>18</v>
      </c>
      <c r="D11" s="9" t="s">
        <v>19</v>
      </c>
      <c r="E11" s="9" t="s">
        <v>18</v>
      </c>
      <c r="F11" s="9" t="s">
        <v>19</v>
      </c>
      <c r="G11" s="9" t="s">
        <v>18</v>
      </c>
      <c r="H11" s="9" t="s">
        <v>19</v>
      </c>
    </row>
    <row r="12" spans="1:26" ht="30.75" customHeight="1" x14ac:dyDescent="0.25">
      <c r="A12" s="9">
        <v>8</v>
      </c>
      <c r="B12" s="10" t="s">
        <v>10</v>
      </c>
      <c r="C12" s="9">
        <v>42</v>
      </c>
      <c r="D12" s="9">
        <v>56</v>
      </c>
      <c r="E12" s="11">
        <v>33.299999999999997</v>
      </c>
      <c r="F12" s="9">
        <v>40</v>
      </c>
      <c r="G12" s="9">
        <v>10</v>
      </c>
      <c r="H12" s="9">
        <v>24</v>
      </c>
      <c r="N12" s="9"/>
      <c r="O12" s="11">
        <f>C12+E12+G12</f>
        <v>85.3</v>
      </c>
      <c r="P12" s="9">
        <f>D12+F12+H12</f>
        <v>120</v>
      </c>
      <c r="Q12" s="11">
        <f>P12-O12</f>
        <v>34.700000000000003</v>
      </c>
      <c r="R12" s="12">
        <f>Q12/O12</f>
        <v>0.40679953106682304</v>
      </c>
      <c r="T12" s="7" t="s">
        <v>10</v>
      </c>
      <c r="W12" s="7">
        <v>1</v>
      </c>
      <c r="X12" s="7">
        <v>1</v>
      </c>
      <c r="Y12" s="7">
        <v>1</v>
      </c>
    </row>
    <row r="13" spans="1:26" x14ac:dyDescent="0.25">
      <c r="A13" s="9">
        <v>9</v>
      </c>
      <c r="B13" s="10" t="s">
        <v>11</v>
      </c>
      <c r="C13" s="9">
        <v>42</v>
      </c>
      <c r="D13" s="9">
        <v>42</v>
      </c>
      <c r="E13" s="9">
        <v>33.299999999999997</v>
      </c>
      <c r="F13" s="9">
        <v>30</v>
      </c>
      <c r="G13" s="9">
        <v>10</v>
      </c>
      <c r="H13" s="9">
        <v>18</v>
      </c>
      <c r="N13" s="9"/>
      <c r="O13" s="11">
        <f t="shared" ref="O13:O15" si="4">C13+E13+G13</f>
        <v>85.3</v>
      </c>
      <c r="P13" s="9">
        <f t="shared" ref="P13:P15" si="5">D13+F13+H13</f>
        <v>90</v>
      </c>
      <c r="Q13" s="11">
        <f t="shared" ref="Q13:Q15" si="6">P13-O13</f>
        <v>4.7000000000000028</v>
      </c>
      <c r="R13" s="12">
        <f t="shared" ref="R13:R16" si="7">Q13/O13</f>
        <v>5.5099648300117265E-2</v>
      </c>
      <c r="T13" s="7" t="s">
        <v>11</v>
      </c>
      <c r="W13" s="7">
        <v>3</v>
      </c>
      <c r="X13" s="7">
        <v>3</v>
      </c>
      <c r="Y13" s="7">
        <v>3</v>
      </c>
    </row>
    <row r="14" spans="1:26" x14ac:dyDescent="0.25">
      <c r="A14" s="9">
        <v>10</v>
      </c>
      <c r="B14" s="10" t="s">
        <v>43</v>
      </c>
      <c r="C14" s="9">
        <v>35</v>
      </c>
      <c r="D14" s="9">
        <v>35</v>
      </c>
      <c r="E14" s="9">
        <v>20</v>
      </c>
      <c r="F14" s="9">
        <v>25</v>
      </c>
      <c r="G14" s="9">
        <v>7.5</v>
      </c>
      <c r="H14" s="9">
        <v>15</v>
      </c>
      <c r="N14" s="9"/>
      <c r="O14" s="11">
        <f t="shared" si="4"/>
        <v>62.5</v>
      </c>
      <c r="P14" s="9">
        <f t="shared" si="5"/>
        <v>75</v>
      </c>
      <c r="Q14" s="11">
        <f t="shared" si="6"/>
        <v>12.5</v>
      </c>
      <c r="R14" s="12">
        <f t="shared" si="7"/>
        <v>0.2</v>
      </c>
      <c r="T14" s="7" t="s">
        <v>12</v>
      </c>
      <c r="W14" s="7">
        <v>4</v>
      </c>
      <c r="X14" s="7">
        <v>4</v>
      </c>
      <c r="Y14" s="7">
        <v>4</v>
      </c>
    </row>
    <row r="15" spans="1:26" x14ac:dyDescent="0.25">
      <c r="A15" s="9">
        <v>11</v>
      </c>
      <c r="B15" s="10" t="s">
        <v>13</v>
      </c>
      <c r="C15" s="9">
        <v>23.3</v>
      </c>
      <c r="D15" s="9">
        <v>0</v>
      </c>
      <c r="E15" s="9">
        <v>16.66</v>
      </c>
      <c r="F15" s="9">
        <v>0</v>
      </c>
      <c r="G15" s="9">
        <v>5</v>
      </c>
      <c r="H15" s="9">
        <v>0</v>
      </c>
      <c r="N15" s="9"/>
      <c r="O15" s="11">
        <f t="shared" si="4"/>
        <v>44.96</v>
      </c>
      <c r="P15" s="9">
        <f t="shared" si="5"/>
        <v>0</v>
      </c>
      <c r="Q15" s="11">
        <f t="shared" si="6"/>
        <v>-44.96</v>
      </c>
      <c r="R15" s="12">
        <f t="shared" si="7"/>
        <v>-1</v>
      </c>
      <c r="T15" s="7" t="s">
        <v>13</v>
      </c>
      <c r="W15" s="7">
        <v>6</v>
      </c>
      <c r="X15" s="7">
        <v>6</v>
      </c>
      <c r="Y15" s="7">
        <v>6</v>
      </c>
    </row>
    <row r="16" spans="1:26" x14ac:dyDescent="0.25">
      <c r="A16" s="7">
        <v>12</v>
      </c>
      <c r="N16" s="9" t="s">
        <v>21</v>
      </c>
      <c r="O16" s="11">
        <f>SUM(O12:O15)</f>
        <v>278.06</v>
      </c>
      <c r="P16" s="11">
        <f>SUM(P12:P15)</f>
        <v>285</v>
      </c>
      <c r="Q16" s="11">
        <f>SUM(Q12:Q15)</f>
        <v>6.9400000000000048</v>
      </c>
      <c r="R16" s="12">
        <f t="shared" si="7"/>
        <v>2.4958642019707995E-2</v>
      </c>
    </row>
    <row r="17" spans="1:26" x14ac:dyDescent="0.25">
      <c r="A17" s="9">
        <v>13</v>
      </c>
      <c r="B17" s="9"/>
      <c r="C17" s="9" t="s">
        <v>1</v>
      </c>
      <c r="D17" s="9"/>
      <c r="E17" s="9" t="s">
        <v>2</v>
      </c>
      <c r="F17" s="9"/>
      <c r="G17" s="9" t="s">
        <v>4</v>
      </c>
      <c r="H17" s="9"/>
      <c r="T17" s="7" t="s">
        <v>14</v>
      </c>
      <c r="X17" s="7">
        <v>1</v>
      </c>
      <c r="Y17" s="7">
        <v>1</v>
      </c>
      <c r="Z17" s="7">
        <v>1</v>
      </c>
    </row>
    <row r="18" spans="1:26" x14ac:dyDescent="0.25">
      <c r="A18" s="9">
        <v>14</v>
      </c>
      <c r="B18" s="9"/>
      <c r="C18" s="9" t="s">
        <v>18</v>
      </c>
      <c r="D18" s="9" t="s">
        <v>19</v>
      </c>
      <c r="E18" s="9" t="s">
        <v>18</v>
      </c>
      <c r="F18" s="9" t="s">
        <v>19</v>
      </c>
      <c r="G18" s="9" t="s">
        <v>18</v>
      </c>
      <c r="H18" s="9" t="s">
        <v>19</v>
      </c>
      <c r="T18" s="7" t="s">
        <v>15</v>
      </c>
      <c r="X18" s="7">
        <v>3</v>
      </c>
      <c r="Y18" s="7">
        <v>3</v>
      </c>
      <c r="Z18" s="7">
        <v>3</v>
      </c>
    </row>
    <row r="19" spans="1:26" x14ac:dyDescent="0.25">
      <c r="A19" s="9">
        <v>15</v>
      </c>
      <c r="B19" s="9" t="s">
        <v>14</v>
      </c>
      <c r="C19" s="11">
        <v>33.299999999999997</v>
      </c>
      <c r="D19" s="9">
        <v>40</v>
      </c>
      <c r="E19" s="9">
        <v>10</v>
      </c>
      <c r="F19" s="9">
        <v>24</v>
      </c>
      <c r="G19" s="11">
        <f>20/3</f>
        <v>6.666666666666667</v>
      </c>
      <c r="H19" s="9">
        <v>16</v>
      </c>
      <c r="N19" s="9"/>
      <c r="O19" s="11">
        <f>C19+E19+G19</f>
        <v>49.966666666666661</v>
      </c>
      <c r="P19" s="9">
        <f>D19+F19+H19</f>
        <v>80</v>
      </c>
      <c r="Q19" s="11">
        <f>P19-O19</f>
        <v>30.033333333333339</v>
      </c>
      <c r="R19" s="12">
        <f>Q19/O19</f>
        <v>0.60106737825216827</v>
      </c>
      <c r="T19" s="7" t="s">
        <v>16</v>
      </c>
      <c r="X19" s="7">
        <v>4</v>
      </c>
      <c r="Y19" s="7">
        <v>4</v>
      </c>
      <c r="Z19" s="7">
        <v>4</v>
      </c>
    </row>
    <row r="20" spans="1:26" x14ac:dyDescent="0.25">
      <c r="A20" s="9">
        <v>16</v>
      </c>
      <c r="B20" s="9" t="s">
        <v>15</v>
      </c>
      <c r="C20" s="9">
        <v>33.299999999999997</v>
      </c>
      <c r="D20" s="9">
        <v>30</v>
      </c>
      <c r="E20" s="9">
        <v>10</v>
      </c>
      <c r="F20" s="9">
        <v>18</v>
      </c>
      <c r="G20" s="9">
        <v>6.67</v>
      </c>
      <c r="H20" s="9">
        <v>12</v>
      </c>
      <c r="N20" s="9"/>
      <c r="O20" s="11">
        <f t="shared" ref="O20:O22" si="8">C20+E20+G20</f>
        <v>49.97</v>
      </c>
      <c r="P20" s="9">
        <f t="shared" ref="P20:P22" si="9">D20+F20+H20</f>
        <v>60</v>
      </c>
      <c r="Q20" s="11">
        <f t="shared" ref="Q20:Q22" si="10">P20-O20</f>
        <v>10.030000000000001</v>
      </c>
      <c r="R20" s="12">
        <f t="shared" ref="R20:R22" si="11">Q20/O20</f>
        <v>0.20072043225935565</v>
      </c>
      <c r="T20" s="7" t="s">
        <v>17</v>
      </c>
      <c r="X20" s="7">
        <v>6</v>
      </c>
      <c r="Y20" s="7">
        <v>6</v>
      </c>
      <c r="Z20" s="7">
        <v>6</v>
      </c>
    </row>
    <row r="21" spans="1:26" x14ac:dyDescent="0.25">
      <c r="A21" s="9">
        <v>17</v>
      </c>
      <c r="B21" s="9" t="s">
        <v>16</v>
      </c>
      <c r="C21" s="9">
        <v>20</v>
      </c>
      <c r="D21" s="9">
        <v>25</v>
      </c>
      <c r="E21" s="9">
        <v>7.5</v>
      </c>
      <c r="F21" s="9">
        <v>15</v>
      </c>
      <c r="G21" s="9">
        <v>5</v>
      </c>
      <c r="H21" s="9">
        <v>10</v>
      </c>
      <c r="N21" s="9"/>
      <c r="O21" s="11">
        <f t="shared" si="8"/>
        <v>32.5</v>
      </c>
      <c r="P21" s="9">
        <f t="shared" si="9"/>
        <v>50</v>
      </c>
      <c r="Q21" s="11">
        <f t="shared" si="10"/>
        <v>17.5</v>
      </c>
      <c r="R21" s="12">
        <f t="shared" si="11"/>
        <v>0.53846153846153844</v>
      </c>
    </row>
    <row r="22" spans="1:26" x14ac:dyDescent="0.25">
      <c r="A22" s="9">
        <v>18</v>
      </c>
      <c r="B22" s="9" t="s">
        <v>17</v>
      </c>
      <c r="C22" s="9">
        <v>16.66</v>
      </c>
      <c r="D22" s="9">
        <v>0</v>
      </c>
      <c r="E22" s="9">
        <v>5</v>
      </c>
      <c r="F22" s="9">
        <v>0</v>
      </c>
      <c r="G22" s="9">
        <v>3.4</v>
      </c>
      <c r="H22" s="9">
        <v>0</v>
      </c>
      <c r="N22" s="9"/>
      <c r="O22" s="11">
        <f t="shared" si="8"/>
        <v>25.06</v>
      </c>
      <c r="P22" s="9">
        <f t="shared" si="9"/>
        <v>0</v>
      </c>
      <c r="Q22" s="11">
        <f t="shared" si="10"/>
        <v>-25.06</v>
      </c>
      <c r="R22" s="12">
        <f t="shared" si="11"/>
        <v>-1</v>
      </c>
    </row>
    <row r="23" spans="1:26" x14ac:dyDescent="0.25">
      <c r="N23" s="9" t="s">
        <v>21</v>
      </c>
      <c r="O23" s="11">
        <f>SUM(O20:O22)</f>
        <v>107.53</v>
      </c>
      <c r="P23" s="11">
        <f>SUM(P20:P22)</f>
        <v>110</v>
      </c>
      <c r="Q23" s="11">
        <f>SUM(Q20:Q22)</f>
        <v>2.4700000000000024</v>
      </c>
      <c r="R23" s="12">
        <f t="shared" ref="R23:R24" si="12">Q23/O23</f>
        <v>2.2970333860318073E-2</v>
      </c>
    </row>
    <row r="24" spans="1:26" x14ac:dyDescent="0.25">
      <c r="N24" s="9" t="s">
        <v>44</v>
      </c>
      <c r="O24" s="11">
        <f>SUM(O9+O16+O23)</f>
        <v>1277.8899999999999</v>
      </c>
      <c r="P24" s="11">
        <f>SUM(P9+P16+P23)</f>
        <v>1090.5</v>
      </c>
      <c r="Q24" s="11">
        <f>O24-P24</f>
        <v>187.38999999999987</v>
      </c>
      <c r="R24" s="12">
        <f t="shared" si="12"/>
        <v>0.14664016464640922</v>
      </c>
    </row>
    <row r="25" spans="1:26" x14ac:dyDescent="0.25">
      <c r="I25" s="8"/>
      <c r="Q25" s="8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15F4-B973-4047-8A90-CBE235D08672}">
  <dimension ref="A1:A24"/>
  <sheetViews>
    <sheetView tabSelected="1" workbookViewId="0">
      <selection activeCell="I6" sqref="I6"/>
    </sheetView>
  </sheetViews>
  <sheetFormatPr defaultRowHeight="15" x14ac:dyDescent="0.25"/>
  <sheetData>
    <row r="1" spans="1:1" ht="18" x14ac:dyDescent="0.25">
      <c r="A1" s="1"/>
    </row>
    <row r="3" spans="1:1" x14ac:dyDescent="0.25">
      <c r="A3" t="s">
        <v>46</v>
      </c>
    </row>
    <row r="4" spans="1:1" x14ac:dyDescent="0.25">
      <c r="A4" s="2"/>
    </row>
    <row r="5" spans="1:1" x14ac:dyDescent="0.25">
      <c r="A5" s="3" t="s">
        <v>25</v>
      </c>
    </row>
    <row r="6" spans="1:1" x14ac:dyDescent="0.25">
      <c r="A6" s="3" t="s">
        <v>26</v>
      </c>
    </row>
    <row r="7" spans="1:1" x14ac:dyDescent="0.25">
      <c r="A7" s="3" t="s">
        <v>27</v>
      </c>
    </row>
    <row r="9" spans="1:1" ht="18" x14ac:dyDescent="0.25">
      <c r="A9" s="1" t="s">
        <v>28</v>
      </c>
    </row>
    <row r="10" spans="1:1" x14ac:dyDescent="0.25">
      <c r="A10" s="2"/>
    </row>
    <row r="11" spans="1:1" x14ac:dyDescent="0.25">
      <c r="A11" s="4" t="s">
        <v>29</v>
      </c>
    </row>
    <row r="12" spans="1:1" x14ac:dyDescent="0.25">
      <c r="A12" s="5" t="s">
        <v>30</v>
      </c>
    </row>
    <row r="13" spans="1:1" x14ac:dyDescent="0.25">
      <c r="A13" s="5" t="s">
        <v>31</v>
      </c>
    </row>
    <row r="14" spans="1:1" x14ac:dyDescent="0.25">
      <c r="A14" s="3" t="s">
        <v>32</v>
      </c>
    </row>
    <row r="15" spans="1:1" x14ac:dyDescent="0.25">
      <c r="A15" s="5" t="s">
        <v>33</v>
      </c>
    </row>
    <row r="16" spans="1:1" x14ac:dyDescent="0.25">
      <c r="A16" s="5" t="s">
        <v>34</v>
      </c>
    </row>
    <row r="17" spans="1:1" x14ac:dyDescent="0.25">
      <c r="A17" s="3" t="s">
        <v>35</v>
      </c>
    </row>
    <row r="18" spans="1:1" x14ac:dyDescent="0.25">
      <c r="A18" s="6" t="s">
        <v>36</v>
      </c>
    </row>
    <row r="20" spans="1:1" ht="18" x14ac:dyDescent="0.25">
      <c r="A20" s="1" t="s">
        <v>37</v>
      </c>
    </row>
    <row r="21" spans="1:1" x14ac:dyDescent="0.25">
      <c r="A21" s="2"/>
    </row>
    <row r="22" spans="1:1" x14ac:dyDescent="0.25">
      <c r="A22" s="3" t="s">
        <v>38</v>
      </c>
    </row>
    <row r="23" spans="1:1" x14ac:dyDescent="0.25">
      <c r="A23" s="3" t="s">
        <v>39</v>
      </c>
    </row>
    <row r="24" spans="1:1" x14ac:dyDescent="0.25">
      <c r="A24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Harish Kumar</cp:lastModifiedBy>
  <dcterms:created xsi:type="dcterms:W3CDTF">2024-11-08T10:09:55Z</dcterms:created>
  <dcterms:modified xsi:type="dcterms:W3CDTF">2024-11-11T05:42:13Z</dcterms:modified>
</cp:coreProperties>
</file>